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aisa\Documents\Customer\"/>
    </mc:Choice>
  </mc:AlternateContent>
  <xr:revisionPtr revIDLastSave="0" documentId="13_ncr:1_{FF0C9887-F98A-4BAB-9A56-13C5E9BE81CB}" xr6:coauthVersionLast="47" xr6:coauthVersionMax="47" xr10:uidLastSave="{00000000-0000-0000-0000-000000000000}"/>
  <bookViews>
    <workbookView xWindow="-110" yWindow="-110" windowWidth="19420" windowHeight="10300" activeTab="4" xr2:uid="{45E6F41E-6B36-4943-BF8D-B9759E257EB8}"/>
  </bookViews>
  <sheets>
    <sheet name="Sheet2" sheetId="15" r:id="rId1"/>
    <sheet name="Sheet3" sheetId="16" r:id="rId2"/>
    <sheet name="Sheet4" sheetId="18" r:id="rId3"/>
    <sheet name="Sheet1" sheetId="1" r:id="rId4"/>
    <sheet name="Dashboard" sheetId="21" r:id="rId5"/>
    <sheet name="Sheet5" sheetId="22" r:id="rId6"/>
  </sheets>
  <definedNames>
    <definedName name="Dashboard">#REF!</definedName>
    <definedName name="Slicer_Category">#N/A</definedName>
    <definedName name="Slicer_Region">#N/A</definedName>
  </definedNames>
  <calcPr calcId="191029"/>
  <pivotCaches>
    <pivotCache cacheId="15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21" l="1"/>
  <c r="F8" i="21"/>
  <c r="H8" i="21"/>
  <c r="F9" i="21"/>
  <c r="G9" i="21"/>
  <c r="H9" i="21"/>
</calcChain>
</file>

<file path=xl/sharedStrings.xml><?xml version="1.0" encoding="utf-8"?>
<sst xmlns="http://schemas.openxmlformats.org/spreadsheetml/2006/main" count="125" uniqueCount="58">
  <si>
    <t>Date</t>
  </si>
  <si>
    <t>Customer Name</t>
  </si>
  <si>
    <t>Region</t>
  </si>
  <si>
    <t>Category</t>
  </si>
  <si>
    <t>Sales</t>
  </si>
  <si>
    <t>Quantity</t>
  </si>
  <si>
    <t>Profit</t>
  </si>
  <si>
    <t>Rahul</t>
  </si>
  <si>
    <t>Anu</t>
  </si>
  <si>
    <t>Kiran</t>
  </si>
  <si>
    <t>Kumar</t>
  </si>
  <si>
    <t>Anki</t>
  </si>
  <si>
    <t>Sweetha</t>
  </si>
  <si>
    <t>Priya</t>
  </si>
  <si>
    <t>Supriya</t>
  </si>
  <si>
    <t>Swathi</t>
  </si>
  <si>
    <t>Vanlal</t>
  </si>
  <si>
    <t>Vanitha</t>
  </si>
  <si>
    <t>Rani</t>
  </si>
  <si>
    <t>Kumari</t>
  </si>
  <si>
    <t>Pranav</t>
  </si>
  <si>
    <t>Preethi</t>
  </si>
  <si>
    <t>Sudeep</t>
  </si>
  <si>
    <t>Nandini</t>
  </si>
  <si>
    <t>Prathi</t>
  </si>
  <si>
    <t>Pushpa</t>
  </si>
  <si>
    <t>Manoj</t>
  </si>
  <si>
    <t>Manju</t>
  </si>
  <si>
    <t>Niru</t>
  </si>
  <si>
    <t>Rakshitha</t>
  </si>
  <si>
    <t>Harshitha</t>
  </si>
  <si>
    <t>Chitra</t>
  </si>
  <si>
    <t>Rashmi</t>
  </si>
  <si>
    <t>South</t>
  </si>
  <si>
    <t>North</t>
  </si>
  <si>
    <t>West</t>
  </si>
  <si>
    <t>East</t>
  </si>
  <si>
    <t>Electronics</t>
  </si>
  <si>
    <t>Clothing</t>
  </si>
  <si>
    <t>Furniture</t>
  </si>
  <si>
    <t>Sum of Sales</t>
  </si>
  <si>
    <t>Row Labels</t>
  </si>
  <si>
    <t>Grand Total</t>
  </si>
  <si>
    <t>Jan</t>
  </si>
  <si>
    <t>Feb</t>
  </si>
  <si>
    <t>Mar</t>
  </si>
  <si>
    <t>Apr</t>
  </si>
  <si>
    <t>May</t>
  </si>
  <si>
    <t>Jul</t>
  </si>
  <si>
    <t>Aug</t>
  </si>
  <si>
    <t>Sep</t>
  </si>
  <si>
    <t>Oct</t>
  </si>
  <si>
    <t>Nov</t>
  </si>
  <si>
    <t>Dec</t>
  </si>
  <si>
    <t>Customer Sales Analysis Dashboard</t>
  </si>
  <si>
    <t>Total Sales</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</si>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</sst>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20"/>
      <color theme="1"/>
      <name val="Aptos Narrow"/>
      <family val="2"/>
      <scheme val="minor"/>
    </font>
    <font>
      <b/>
      <sz val="26"/>
      <color theme="1"/>
      <name val="Aptos Narrow"/>
      <family val="2"/>
      <scheme val="minor"/>
    </font>
    <font>
      <b/>
      <sz val="16"/>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0" xfId="0" applyAlignment="1">
      <alignment vertical="center"/>
    </xf>
    <xf numFmtId="0" fontId="1" fillId="0" borderId="1" xfId="0" applyFont="1" applyBorder="1" applyAlignment="1">
      <alignment horizontal="center" vertical="center"/>
    </xf>
    <xf numFmtId="0" fontId="3" fillId="0" borderId="1" xfId="0" applyFont="1" applyBorder="1" applyAlignment="1">
      <alignment horizontal="center"/>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[Customer_Sales_Analysis_Dashboard.xlsx]Sheet2!PivotTable19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c:f>
              <c:strCache>
                <c:ptCount val="1"/>
                <c:pt idx="0">
                  <c:v>Total</c:v>
                </c:pt>
              </c:strCache>
            </c:strRef>
          </c:tx>
          <c:spPr>
            <a:solidFill>
              <a:schemeClr val="accent1"/>
            </a:solidFill>
            <a:ln>
              <a:noFill/>
            </a:ln>
            <a:effectLst/>
          </c:spPr>
          <c:invertIfNegative val="0"/>
          <c:cat>
            <c:strRef>
              <c:f>Sheet2!$B$6:$B$9</c:f>
              <c:strCache>
                <c:ptCount val="3"/>
                <c:pt idx="0">
                  <c:v>Clothing</c:v>
                </c:pt>
                <c:pt idx="1">
                  <c:v>Electronics</c:v>
                </c:pt>
                <c:pt idx="2">
                  <c:v>Furniture</c:v>
                </c:pt>
              </c:strCache>
            </c:strRef>
          </c:cat>
          <c:val>
            <c:numRef>
              <c:f>Sheet2!$C$6:$C$9</c:f>
              <c:numCache>
                <c:formatCode>General</c:formatCode>
                <c:ptCount val="3"/>
                <c:pt idx="0">
                  <c:v>39800</c:v>
                </c:pt>
                <c:pt idx="1">
                  <c:v>69200</c:v>
                </c:pt>
                <c:pt idx="2">
                  <c:v>73200</c:v>
                </c:pt>
              </c:numCache>
            </c:numRef>
          </c:val>
          <c:extLst>
            <c:ext xmlns:c16="http://schemas.microsoft.com/office/drawing/2014/chart" uri="{C3380CC4-5D6E-409C-BE32-E72D297353CC}">
              <c16:uniqueId val="{00000000-FE8D-4D79-9A2C-7D891042EEB3}"/>
            </c:ext>
          </c:extLst>
        </c:ser>
        <c:dLbls>
          <c:showLegendKey val="0"/>
          <c:showVal val="0"/>
          <c:showCatName val="0"/>
          <c:showSerName val="0"/>
          <c:showPercent val="0"/>
          <c:showBubbleSize val="0"/>
        </c:dLbls>
        <c:gapWidth val="219"/>
        <c:overlap val="-27"/>
        <c:axId val="1566131888"/>
        <c:axId val="1561275264"/>
      </c:barChart>
      <c:catAx>
        <c:axId val="156613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275264"/>
        <c:crosses val="autoZero"/>
        <c:auto val="1"/>
        <c:lblAlgn val="ctr"/>
        <c:lblOffset val="100"/>
        <c:noMultiLvlLbl val="0"/>
      </c:catAx>
      <c:valAx>
        <c:axId val="156127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3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[Customer_Sales_Analysis_Dashboard.xlsx]Sheet3!PivotTable20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Region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Sheet3!$C$4</c:f>
              <c:strCache>
                <c:ptCount val="1"/>
                <c:pt idx="0">
                  <c:v>Total</c:v>
                </c:pt>
              </c:strCache>
            </c:strRef>
          </c:tx>
          <c:spPr>
            <a:solidFill>
              <a:schemeClr val="accent1"/>
            </a:solidFill>
            <a:ln>
              <a:noFill/>
            </a:ln>
            <a:effectLst/>
          </c:spPr>
          <c:invertIfNegative val="0"/>
          <c:cat>
            <c:strRef>
              <c:f>Sheet3!$B$5:$B$9</c:f>
              <c:strCache>
                <c:ptCount val="4"/>
                <c:pt idx="0">
                  <c:v>East</c:v>
                </c:pt>
                <c:pt idx="1">
                  <c:v>North</c:v>
                </c:pt>
                <c:pt idx="2">
                  <c:v>South</c:v>
                </c:pt>
                <c:pt idx="3">
                  <c:v>West</c:v>
                </c:pt>
              </c:strCache>
            </c:strRef>
          </c:cat>
          <c:val>
            <c:numRef>
              <c:f>Sheet3!$C$5:$C$9</c:f>
              <c:numCache>
                <c:formatCode>General</c:formatCode>
                <c:ptCount val="4"/>
                <c:pt idx="0">
                  <c:v>12300</c:v>
                </c:pt>
                <c:pt idx="1">
                  <c:v>35300</c:v>
                </c:pt>
                <c:pt idx="2">
                  <c:v>75800</c:v>
                </c:pt>
                <c:pt idx="3">
                  <c:v>58800</c:v>
                </c:pt>
              </c:numCache>
            </c:numRef>
          </c:val>
          <c:extLst>
            <c:ext xmlns:c16="http://schemas.microsoft.com/office/drawing/2014/chart" uri="{C3380CC4-5D6E-409C-BE32-E72D297353CC}">
              <c16:uniqueId val="{00000000-BC35-44A6-96FC-B0D69D5505EF}"/>
            </c:ext>
          </c:extLst>
        </c:ser>
        <c:dLbls>
          <c:showLegendKey val="0"/>
          <c:showVal val="0"/>
          <c:showCatName val="0"/>
          <c:showSerName val="0"/>
          <c:showPercent val="0"/>
          <c:showBubbleSize val="0"/>
        </c:dLbls>
        <c:gapWidth val="219"/>
        <c:overlap val="-27"/>
        <c:axId val="1663605376"/>
        <c:axId val="1663581856"/>
      </c:barChart>
      <c:catAx>
        <c:axId val="16636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581856"/>
        <c:crosses val="autoZero"/>
        <c:auto val="1"/>
        <c:lblAlgn val="ctr"/>
        <c:lblOffset val="100"/>
        <c:noMultiLvlLbl val="0"/>
      </c:catAx>
      <c:valAx>
        <c:axId val="166358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60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[Customer_Sales_Analysis_Dashboard.xlsx]Sheet2!PivotTable19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c:f>
              <c:strCache>
                <c:ptCount val="1"/>
                <c:pt idx="0">
                  <c:v>Total</c:v>
                </c:pt>
              </c:strCache>
            </c:strRef>
          </c:tx>
          <c:spPr>
            <a:solidFill>
              <a:schemeClr val="accent1"/>
            </a:solidFill>
            <a:ln>
              <a:noFill/>
            </a:ln>
            <a:effectLst/>
          </c:spPr>
          <c:invertIfNegative val="0"/>
          <c:cat>
            <c:strRef>
              <c:f>Sheet2!$B$6:$B$9</c:f>
              <c:strCache>
                <c:ptCount val="3"/>
                <c:pt idx="0">
                  <c:v>Clothing</c:v>
                </c:pt>
                <c:pt idx="1">
                  <c:v>Electronics</c:v>
                </c:pt>
                <c:pt idx="2">
                  <c:v>Furniture</c:v>
                </c:pt>
              </c:strCache>
            </c:strRef>
          </c:cat>
          <c:val>
            <c:numRef>
              <c:f>Sheet2!$C$6:$C$9</c:f>
              <c:numCache>
                <c:formatCode>General</c:formatCode>
                <c:ptCount val="3"/>
                <c:pt idx="0">
                  <c:v>39800</c:v>
                </c:pt>
                <c:pt idx="1">
                  <c:v>69200</c:v>
                </c:pt>
                <c:pt idx="2">
                  <c:v>73200</c:v>
                </c:pt>
              </c:numCache>
            </c:numRef>
          </c:val>
          <c:extLst>
            <c:ext xmlns:c16="http://schemas.microsoft.com/office/drawing/2014/chart" uri="{C3380CC4-5D6E-409C-BE32-E72D297353CC}">
              <c16:uniqueId val="{00000000-AE21-49B0-B827-D92630CB786B}"/>
            </c:ext>
          </c:extLst>
        </c:ser>
        <c:dLbls>
          <c:showLegendKey val="0"/>
          <c:showVal val="0"/>
          <c:showCatName val="0"/>
          <c:showSerName val="0"/>
          <c:showPercent val="0"/>
          <c:showBubbleSize val="0"/>
        </c:dLbls>
        <c:gapWidth val="219"/>
        <c:overlap val="-27"/>
        <c:axId val="1566131888"/>
        <c:axId val="1561275264"/>
      </c:barChart>
      <c:catAx>
        <c:axId val="156613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275264"/>
        <c:crosses val="autoZero"/>
        <c:auto val="1"/>
        <c:lblAlgn val="ctr"/>
        <c:lblOffset val="100"/>
        <c:noMultiLvlLbl val="0"/>
      </c:catAx>
      <c:valAx>
        <c:axId val="156127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3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[Customer_Sales_Analysis_Dashboard.xlsx]Sheet3!PivotTable20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Region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Sheet3!$C$4</c:f>
              <c:strCache>
                <c:ptCount val="1"/>
                <c:pt idx="0">
                  <c:v>Total</c:v>
                </c:pt>
              </c:strCache>
            </c:strRef>
          </c:tx>
          <c:spPr>
            <a:solidFill>
              <a:schemeClr val="accent1"/>
            </a:solidFill>
            <a:ln>
              <a:noFill/>
            </a:ln>
            <a:effectLst/>
          </c:spPr>
          <c:invertIfNegative val="0"/>
          <c:cat>
            <c:strRef>
              <c:f>Sheet3!$B$5:$B$9</c:f>
              <c:strCache>
                <c:ptCount val="4"/>
                <c:pt idx="0">
                  <c:v>East</c:v>
                </c:pt>
                <c:pt idx="1">
                  <c:v>North</c:v>
                </c:pt>
                <c:pt idx="2">
                  <c:v>South</c:v>
                </c:pt>
                <c:pt idx="3">
                  <c:v>West</c:v>
                </c:pt>
              </c:strCache>
            </c:strRef>
          </c:cat>
          <c:val>
            <c:numRef>
              <c:f>Sheet3!$C$5:$C$9</c:f>
              <c:numCache>
                <c:formatCode>General</c:formatCode>
                <c:ptCount val="4"/>
                <c:pt idx="0">
                  <c:v>12300</c:v>
                </c:pt>
                <c:pt idx="1">
                  <c:v>35300</c:v>
                </c:pt>
                <c:pt idx="2">
                  <c:v>75800</c:v>
                </c:pt>
                <c:pt idx="3">
                  <c:v>58800</c:v>
                </c:pt>
              </c:numCache>
            </c:numRef>
          </c:val>
          <c:extLst>
            <c:ext xmlns:c16="http://schemas.microsoft.com/office/drawing/2014/chart" uri="{C3380CC4-5D6E-409C-BE32-E72D297353CC}">
              <c16:uniqueId val="{00000000-16B0-4180-AD35-52E8C362008B}"/>
            </c:ext>
          </c:extLst>
        </c:ser>
        <c:dLbls>
          <c:showLegendKey val="0"/>
          <c:showVal val="0"/>
          <c:showCatName val="0"/>
          <c:showSerName val="0"/>
          <c:showPercent val="0"/>
          <c:showBubbleSize val="0"/>
        </c:dLbls>
        <c:gapWidth val="219"/>
        <c:overlap val="-27"/>
        <c:axId val="1663605376"/>
        <c:axId val="1663581856"/>
      </c:barChart>
      <c:catAx>
        <c:axId val="16636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581856"/>
        <c:crosses val="autoZero"/>
        <c:auto val="1"/>
        <c:lblAlgn val="ctr"/>
        <c:lblOffset val="100"/>
        <c:noMultiLvlLbl val="0"/>
      </c:catAx>
      <c:valAx>
        <c:axId val="166358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60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[Customer_Sales_Analysis_Dashboard.xlsx]Sheet5!PivotTable21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Monthly Sales Trend</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28575" cap="rnd">
              <a:solidFill>
                <a:schemeClr val="accent1"/>
              </a:solidFill>
              <a:round/>
            </a:ln>
            <a:effectLst/>
          </c:spPr>
          <c:marker>
            <c:symbol val="none"/>
          </c:marker>
          <c:cat>
            <c:strRef>
              <c:f>Sheet5!$A$2:$A$13</c:f>
              <c:strCache>
                <c:ptCount val="11"/>
                <c:pt idx="0">
                  <c:v>Jan</c:v>
                </c:pt>
                <c:pt idx="1">
                  <c:v>Feb</c:v>
                </c:pt>
                <c:pt idx="2">
                  <c:v>Mar</c:v>
                </c:pt>
                <c:pt idx="3">
                  <c:v>Apr</c:v>
                </c:pt>
                <c:pt idx="4">
                  <c:v>May</c:v>
                </c:pt>
                <c:pt idx="5">
                  <c:v>Jul</c:v>
                </c:pt>
                <c:pt idx="6">
                  <c:v>Aug</c:v>
                </c:pt>
                <c:pt idx="7">
                  <c:v>Sep</c:v>
                </c:pt>
                <c:pt idx="8">
                  <c:v>Oct</c:v>
                </c:pt>
                <c:pt idx="9">
                  <c:v>Nov</c:v>
                </c:pt>
                <c:pt idx="10">
                  <c:v>Dec</c:v>
                </c:pt>
              </c:strCache>
            </c:strRef>
          </c:cat>
          <c:val>
            <c:numRef>
              <c:f>Sheet5!$B$2:$B$13</c:f>
              <c:numCache>
                <c:formatCode>General</c:formatCode>
                <c:ptCount val="11"/>
                <c:pt idx="0">
                  <c:v>8000</c:v>
                </c:pt>
                <c:pt idx="1">
                  <c:v>7000</c:v>
                </c:pt>
                <c:pt idx="2">
                  <c:v>30700</c:v>
                </c:pt>
                <c:pt idx="3">
                  <c:v>1500</c:v>
                </c:pt>
                <c:pt idx="4">
                  <c:v>11000</c:v>
                </c:pt>
                <c:pt idx="5">
                  <c:v>15000</c:v>
                </c:pt>
                <c:pt idx="6">
                  <c:v>4000</c:v>
                </c:pt>
                <c:pt idx="7">
                  <c:v>12000</c:v>
                </c:pt>
                <c:pt idx="8">
                  <c:v>74000</c:v>
                </c:pt>
                <c:pt idx="9">
                  <c:v>5400</c:v>
                </c:pt>
                <c:pt idx="10">
                  <c:v>13600</c:v>
                </c:pt>
              </c:numCache>
            </c:numRef>
          </c:val>
          <c:smooth val="0"/>
          <c:extLst>
            <c:ext xmlns:c16="http://schemas.microsoft.com/office/drawing/2014/chart" uri="{C3380CC4-5D6E-409C-BE32-E72D297353CC}">
              <c16:uniqueId val="{00000000-73E9-4F5B-BFC2-5D0C5FA4B817}"/>
            </c:ext>
          </c:extLst>
        </c:ser>
        <c:dLbls>
          <c:showLegendKey val="0"/>
          <c:showVal val="0"/>
          <c:showCatName val="0"/>
          <c:showSerName val="0"/>
          <c:showPercent val="0"/>
          <c:showBubbleSize val="0"/>
        </c:dLbls>
        <c:smooth val="0"/>
        <c:axId val="1683447392"/>
        <c:axId val="1683446432"/>
      </c:lineChart>
      <c:catAx>
        <c:axId val="168344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446432"/>
        <c:crosses val="autoZero"/>
        <c:auto val="1"/>
        <c:lblAlgn val="ctr"/>
        <c:lblOffset val="100"/>
        <c:noMultiLvlLbl val="0"/>
      </c:catAx>
      <c:valAx>
        <c:axId val="168344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44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[Customer_Sales_Analysis_Dashboard.xlsx]Sheet5!PivotTable21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Monthly Sales Trend</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28575" cap="rnd">
              <a:solidFill>
                <a:schemeClr val="accent1"/>
              </a:solidFill>
              <a:round/>
            </a:ln>
            <a:effectLst/>
          </c:spPr>
          <c:marker>
            <c:symbol val="none"/>
          </c:marker>
          <c:cat>
            <c:strRef>
              <c:f>Sheet5!$A$2:$A$13</c:f>
              <c:strCache>
                <c:ptCount val="11"/>
                <c:pt idx="0">
                  <c:v>Jan</c:v>
                </c:pt>
                <c:pt idx="1">
                  <c:v>Feb</c:v>
                </c:pt>
                <c:pt idx="2">
                  <c:v>Mar</c:v>
                </c:pt>
                <c:pt idx="3">
                  <c:v>Apr</c:v>
                </c:pt>
                <c:pt idx="4">
                  <c:v>May</c:v>
                </c:pt>
                <c:pt idx="5">
                  <c:v>Jul</c:v>
                </c:pt>
                <c:pt idx="6">
                  <c:v>Aug</c:v>
                </c:pt>
                <c:pt idx="7">
                  <c:v>Sep</c:v>
                </c:pt>
                <c:pt idx="8">
                  <c:v>Oct</c:v>
                </c:pt>
                <c:pt idx="9">
                  <c:v>Nov</c:v>
                </c:pt>
                <c:pt idx="10">
                  <c:v>Dec</c:v>
                </c:pt>
              </c:strCache>
            </c:strRef>
          </c:cat>
          <c:val>
            <c:numRef>
              <c:f>Sheet5!$B$2:$B$13</c:f>
              <c:numCache>
                <c:formatCode>General</c:formatCode>
                <c:ptCount val="11"/>
                <c:pt idx="0">
                  <c:v>8000</c:v>
                </c:pt>
                <c:pt idx="1">
                  <c:v>7000</c:v>
                </c:pt>
                <c:pt idx="2">
                  <c:v>30700</c:v>
                </c:pt>
                <c:pt idx="3">
                  <c:v>1500</c:v>
                </c:pt>
                <c:pt idx="4">
                  <c:v>11000</c:v>
                </c:pt>
                <c:pt idx="5">
                  <c:v>15000</c:v>
                </c:pt>
                <c:pt idx="6">
                  <c:v>4000</c:v>
                </c:pt>
                <c:pt idx="7">
                  <c:v>12000</c:v>
                </c:pt>
                <c:pt idx="8">
                  <c:v>74000</c:v>
                </c:pt>
                <c:pt idx="9">
                  <c:v>5400</c:v>
                </c:pt>
                <c:pt idx="10">
                  <c:v>13600</c:v>
                </c:pt>
              </c:numCache>
            </c:numRef>
          </c:val>
          <c:smooth val="0"/>
          <c:extLst>
            <c:ext xmlns:c16="http://schemas.microsoft.com/office/drawing/2014/chart" uri="{C3380CC4-5D6E-409C-BE32-E72D297353CC}">
              <c16:uniqueId val="{00000000-80F9-45FA-8A3D-ECFE2AAC8E5D}"/>
            </c:ext>
          </c:extLst>
        </c:ser>
        <c:dLbls>
          <c:showLegendKey val="0"/>
          <c:showVal val="0"/>
          <c:showCatName val="0"/>
          <c:showSerName val="0"/>
          <c:showPercent val="0"/>
          <c:showBubbleSize val="0"/>
        </c:dLbls>
        <c:smooth val="0"/>
        <c:axId val="1683447392"/>
        <c:axId val="1683446432"/>
      </c:lineChart>
      <c:catAx>
        <c:axId val="168344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446432"/>
        <c:crosses val="autoZero"/>
        <c:auto val="1"/>
        <c:lblAlgn val="ctr"/>
        <c:lblOffset val="100"/>
        <c:noMultiLvlLbl val="0"/>
      </c:catAx>
      <c:valAx>
        <c:axId val="168344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44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336550</xdr:colOff>
      <xdr:row>2</xdr:row>
      <xdr:rowOff>82550</xdr:rowOff>
    </xdr:from>
    <xdr:to>
      <xdr:col>8</xdr:col>
      <xdr:colOff>438150</xdr:colOff>
      <xdr:row>16</xdr:row>
      <xdr:rowOff>146050</xdr:rowOff>
    </xdr:to>
    <xdr:graphicFrame macro="">
      <xdr:nvGraphicFramePr>
        <xdr:cNvPr id="5" name="Chart 4">
          <a:extLst>
            <a:ext uri="{FF2B5EF4-FFF2-40B4-BE49-F238E27FC236}">
              <a16:creationId xmlns:a16="http://schemas.microsoft.com/office/drawing/2014/main" id="{56C4B313-A7A9-7CD3-065A-56316863F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330200</xdr:colOff>
      <xdr:row>2</xdr:row>
      <xdr:rowOff>82550</xdr:rowOff>
    </xdr:from>
    <xdr:to>
      <xdr:col>9</xdr:col>
      <xdr:colOff>285750</xdr:colOff>
      <xdr:row>15</xdr:row>
      <xdr:rowOff>177800</xdr:rowOff>
    </xdr:to>
    <xdr:graphicFrame macro="">
      <xdr:nvGraphicFramePr>
        <xdr:cNvPr id="11" name="Chart 10">
          <a:extLst>
            <a:ext uri="{FF2B5EF4-FFF2-40B4-BE49-F238E27FC236}">
              <a16:creationId xmlns:a16="http://schemas.microsoft.com/office/drawing/2014/main" id="{7CE3218B-6A60-8D62-5DA1-DF4F23B8D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444500</xdr:colOff>
      <xdr:row>2</xdr:row>
      <xdr:rowOff>50800</xdr:rowOff>
    </xdr:from>
    <xdr:to>
      <xdr:col>12</xdr:col>
      <xdr:colOff>444500</xdr:colOff>
      <xdr:row>16</xdr:row>
      <xdr:rowOff>92072</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1B618A36-4B5A-0589-25F4-4F7E6DC5F0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48450" y="419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69850</xdr:colOff>
      <xdr:row>2</xdr:row>
      <xdr:rowOff>25400</xdr:rowOff>
    </xdr:from>
    <xdr:to>
      <xdr:col>16</xdr:col>
      <xdr:colOff>69850</xdr:colOff>
      <xdr:row>16</xdr:row>
      <xdr:rowOff>66672</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28C9B650-4E42-2FB7-304C-D6FEABCB88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712200" y="3937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353484</xdr:colOff>
      <xdr:row>12</xdr:row>
      <xdr:rowOff>103716</xdr:rowOff>
    </xdr:from>
    <xdr:to>
      <xdr:col>5</xdr:col>
      <xdr:colOff>385234</xdr:colOff>
      <xdr:row>26</xdr:row>
      <xdr:rowOff>91016</xdr:rowOff>
    </xdr:to>
    <xdr:graphicFrame macro="">
      <xdr:nvGraphicFramePr>
        <xdr:cNvPr id="5" name="Chart 4">
          <a:extLst>
            <a:ext uri="{FF2B5EF4-FFF2-40B4-BE49-F238E27FC236}">
              <a16:creationId xmlns:a16="http://schemas.microsoft.com/office/drawing/2014/main" id="{8BFE8764-9540-43E3-9C28-F76DE937C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645583</xdr:colOff>
      <xdr:row>12</xdr:row>
      <xdr:rowOff>84666</xdr:rowOff>
    </xdr:from>
    <xdr:to>
      <xdr:col>11</xdr:col>
      <xdr:colOff>334433</xdr:colOff>
      <xdr:row>26</xdr:row>
      <xdr:rowOff>105831</xdr:rowOff>
    </xdr:to>
    <xdr:graphicFrame macro="">
      <xdr:nvGraphicFramePr>
        <xdr:cNvPr id="6" name="Chart 5">
          <a:extLst>
            <a:ext uri="{FF2B5EF4-FFF2-40B4-BE49-F238E27FC236}">
              <a16:creationId xmlns:a16="http://schemas.microsoft.com/office/drawing/2014/main" id="{E723D51B-9515-4833-9118-924FB65CD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63499</xdr:colOff>
      <xdr:row>12</xdr:row>
      <xdr:rowOff>116417</xdr:rowOff>
    </xdr:from>
    <xdr:to>
      <xdr:col>18</xdr:col>
      <xdr:colOff>309033</xdr:colOff>
      <xdr:row>26</xdr:row>
      <xdr:rowOff>114300</xdr:rowOff>
    </xdr:to>
    <xdr:graphicFrame macro="">
      <xdr:nvGraphicFramePr>
        <xdr:cNvPr id="7" name="Chart 6">
          <a:extLst>
            <a:ext uri="{FF2B5EF4-FFF2-40B4-BE49-F238E27FC236}">
              <a16:creationId xmlns:a16="http://schemas.microsoft.com/office/drawing/2014/main" id="{B13D8AC0-10D5-4D55-8321-78B149550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1373188</xdr:colOff>
      <xdr:row>29</xdr:row>
      <xdr:rowOff>63499</xdr:rowOff>
    </xdr:from>
    <xdr:to>
      <xdr:col>7</xdr:col>
      <xdr:colOff>510937</xdr:colOff>
      <xdr:row>39</xdr:row>
      <xdr:rowOff>94190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E532B5B8-AF28-4FCD-B572-CA65656514C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759855" y="5910791"/>
              <a:ext cx="1836499" cy="1882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207963</xdr:colOff>
      <xdr:row>29</xdr:row>
      <xdr:rowOff>32808</xdr:rowOff>
    </xdr:from>
    <xdr:to>
      <xdr:col>12</xdr:col>
      <xdr:colOff>207962</xdr:colOff>
      <xdr:row>39</xdr:row>
      <xdr:rowOff>66675</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98F7992B-6E07-4892-BC3D-FF3EDE0F87B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132234" y="5880100"/>
              <a:ext cx="1825624" cy="1885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241300</xdr:colOff>
      <xdr:row>2</xdr:row>
      <xdr:rowOff>82550</xdr:rowOff>
    </xdr:from>
    <xdr:to>
      <xdr:col>9</xdr:col>
      <xdr:colOff>546100</xdr:colOff>
      <xdr:row>17</xdr:row>
      <xdr:rowOff>63500</xdr:rowOff>
    </xdr:to>
    <xdr:graphicFrame macro="">
      <xdr:nvGraphicFramePr>
        <xdr:cNvPr id="2" name="Chart 1">
          <a:extLst>
            <a:ext uri="{FF2B5EF4-FFF2-40B4-BE49-F238E27FC236}">
              <a16:creationId xmlns:a16="http://schemas.microsoft.com/office/drawing/2014/main" id="{5FEAD844-2A1A-C2B0-8E01-49E03DD02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sathya" refreshedDate="46125.578623611109" createdVersion="8" refreshedVersion="8" minRefreshableVersion="3" recordCount="29" xr:uid="{3D64CD96-A321-44FC-9620-D44CC3FE670D}">
  <cacheSource type="worksheet">
    <worksheetSource name="Table1"/>
  </cacheSource>
  <cacheFields count="10">
    <cacheField name="Date" numFmtId="14">
      <sharedItems containsSemiMixedTypes="0" containsNonDate="0" containsDate="1" containsString="0" minDate="2025-01-01T00:00:00" maxDate="2026-12-16T00:00:00" count="22">
        <d v="2025-01-01T00:00:00"/>
        <d v="2025-02-20T00:00:00"/>
        <d v="2025-03-10T00:00:00"/>
        <d v="2025-03-16T00:00:00"/>
        <d v="2025-03-30T00:00:00"/>
        <d v="2025-04-12T00:00:00"/>
        <d v="2025-09-23T00:00:00"/>
        <d v="2025-10-17T00:00:00"/>
        <d v="2025-12-23T00:00:00"/>
        <d v="2026-03-08T00:00:00"/>
        <d v="2026-03-18T00:00:00"/>
        <d v="2026-03-19T00:00:00"/>
        <d v="2026-05-25T00:00:00"/>
        <d v="2026-05-27T00:00:00"/>
        <d v="2026-07-15T00:00:00"/>
        <d v="2026-08-26T00:00:00"/>
        <d v="2026-09-11T00:00:00"/>
        <d v="2026-10-28T00:00:00"/>
        <d v="2026-11-17T00:00:00"/>
        <d v="2026-11-29T00:00:00"/>
        <d v="2026-12-02T00:00:00"/>
        <d v="2026-12-15T00:00:00"/>
      </sharedItems>
      <fieldGroup par="9"/>
    </cacheField>
    <cacheField name="Customer Name" numFmtId="0">
      <sharedItems/>
    </cacheField>
    <cacheField name="Region" numFmtId="0">
      <sharedItems count="4">
        <s v="South"/>
        <s v="North"/>
        <s v="West"/>
        <s v="East"/>
      </sharedItems>
    </cacheField>
    <cacheField name="Category" numFmtId="0">
      <sharedItems count="3">
        <s v="Electronics"/>
        <s v="Clothing"/>
        <s v="Furniture"/>
      </sharedItems>
    </cacheField>
    <cacheField name="Sales" numFmtId="0">
      <sharedItems containsSemiMixedTypes="0" containsString="0" containsNumber="1" containsInteger="1" minValue="500" maxValue="46000"/>
    </cacheField>
    <cacheField name="Quantity" numFmtId="0">
      <sharedItems containsSemiMixedTypes="0" containsString="0" containsNumber="1" containsInteger="1" minValue="1" maxValue="9"/>
    </cacheField>
    <cacheField name="Profit" numFmtId="0">
      <sharedItems containsSemiMixedTypes="0" containsString="0" containsNumber="1" containsInteger="1" minValue="50" maxValue="1500"/>
    </cacheField>
    <cacheField name="Months (Date)" numFmtId="0" databaseField="0">
      <fieldGroup base="0">
        <rangePr groupBy="months" startDate="2025-01-01T00:00:00" endDate="2026-12-16T00:00:00"/>
        <groupItems count="14">
          <s v="&lt;01-01-2025"/>
          <s v="Jan"/>
          <s v="Feb"/>
          <s v="Mar"/>
          <s v="Apr"/>
          <s v="May"/>
          <s v="Jun"/>
          <s v="Jul"/>
          <s v="Aug"/>
          <s v="Sep"/>
          <s v="Oct"/>
          <s v="Nov"/>
          <s v="Dec"/>
          <s v="&gt;16-12-2026"/>
        </groupItems>
      </fieldGroup>
    </cacheField>
    <cacheField name="Quarters (Date)" numFmtId="0" databaseField="0">
      <fieldGroup base="0">
        <rangePr groupBy="quarters" startDate="2025-01-01T00:00:00" endDate="2026-12-16T00:00:00"/>
        <groupItems count="6">
          <s v="&lt;01-01-2025"/>
          <s v="Qtr1"/>
          <s v="Qtr2"/>
          <s v="Qtr3"/>
          <s v="Qtr4"/>
          <s v="&gt;16-12-2026"/>
        </groupItems>
      </fieldGroup>
    </cacheField>
    <cacheField name="Years (Date)" numFmtId="0" databaseField="0">
      <fieldGroup base="0">
        <rangePr groupBy="years" startDate="2025-01-01T00:00:00" endDate="2026-12-16T00:00:00"/>
        <groupItems count="4">
          <s v="&lt;01-01-2025"/>
          <s v="2025"/>
          <s v="2026"/>
          <s v="&gt;16-12-2026"/>
        </groupItems>
      </fieldGroup>
    </cacheField>
  </cacheFields>
  <extLst>
    <ext xmlns:x14="http://schemas.microsoft.com/office/spreadsheetml/2009/9/main" uri="{725AE2AE-9491-48be-B2B4-4EB974FC3084}">
      <x14:pivotCacheDefinition pivotCacheId="1941753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s v="Rahul"/>
    <x v="0"/>
    <x v="0"/>
    <n v="5000"/>
    <n v="3"/>
    <n v="500"/>
  </r>
  <r>
    <x v="0"/>
    <s v="Anu"/>
    <x v="1"/>
    <x v="1"/>
    <n v="3000"/>
    <n v="5"/>
    <n v="300"/>
  </r>
  <r>
    <x v="1"/>
    <s v="Kiran"/>
    <x v="2"/>
    <x v="2"/>
    <n v="7000"/>
    <n v="3"/>
    <n v="800"/>
  </r>
  <r>
    <x v="2"/>
    <s v="Kumar"/>
    <x v="3"/>
    <x v="0"/>
    <n v="2000"/>
    <n v="1"/>
    <n v="200"/>
  </r>
  <r>
    <x v="3"/>
    <s v="Anki"/>
    <x v="3"/>
    <x v="0"/>
    <n v="1000"/>
    <n v="1"/>
    <n v="100"/>
  </r>
  <r>
    <x v="4"/>
    <s v="Sweetha"/>
    <x v="2"/>
    <x v="1"/>
    <n v="8000"/>
    <n v="7"/>
    <n v="1500"/>
  </r>
  <r>
    <x v="4"/>
    <s v="Priya"/>
    <x v="1"/>
    <x v="0"/>
    <n v="800"/>
    <n v="1"/>
    <n v="100"/>
  </r>
  <r>
    <x v="5"/>
    <s v="Supriya"/>
    <x v="0"/>
    <x v="2"/>
    <n v="1500"/>
    <n v="2"/>
    <n v="50"/>
  </r>
  <r>
    <x v="6"/>
    <s v="Swathi"/>
    <x v="2"/>
    <x v="1"/>
    <n v="7000"/>
    <n v="3"/>
    <n v="100"/>
  </r>
  <r>
    <x v="7"/>
    <s v="Vanlal"/>
    <x v="2"/>
    <x v="2"/>
    <n v="24000"/>
    <n v="6"/>
    <n v="1000"/>
  </r>
  <r>
    <x v="8"/>
    <s v="Kumar"/>
    <x v="1"/>
    <x v="0"/>
    <n v="5000"/>
    <n v="3"/>
    <n v="500"/>
  </r>
  <r>
    <x v="9"/>
    <s v="Kumar"/>
    <x v="0"/>
    <x v="2"/>
    <n v="2000"/>
    <n v="2"/>
    <n v="100"/>
  </r>
  <r>
    <x v="10"/>
    <s v="Vanitha"/>
    <x v="2"/>
    <x v="2"/>
    <n v="4000"/>
    <n v="6"/>
    <n v="200"/>
  </r>
  <r>
    <x v="10"/>
    <s v="Rani"/>
    <x v="1"/>
    <x v="0"/>
    <n v="500"/>
    <n v="1"/>
    <n v="50"/>
  </r>
  <r>
    <x v="11"/>
    <s v="Kumari"/>
    <x v="0"/>
    <x v="1"/>
    <n v="7000"/>
    <n v="8"/>
    <n v="1000"/>
  </r>
  <r>
    <x v="11"/>
    <s v="Pranav"/>
    <x v="0"/>
    <x v="2"/>
    <n v="1900"/>
    <n v="2"/>
    <n v="300"/>
  </r>
  <r>
    <x v="11"/>
    <s v="Preethi"/>
    <x v="3"/>
    <x v="0"/>
    <n v="3500"/>
    <n v="4"/>
    <n v="100"/>
  </r>
  <r>
    <x v="12"/>
    <s v="Sudeep"/>
    <x v="3"/>
    <x v="1"/>
    <n v="3000"/>
    <n v="5"/>
    <n v="200"/>
  </r>
  <r>
    <x v="13"/>
    <s v="Vanitha"/>
    <x v="0"/>
    <x v="2"/>
    <n v="8000"/>
    <n v="1"/>
    <n v="500"/>
  </r>
  <r>
    <x v="14"/>
    <s v="Nandini"/>
    <x v="1"/>
    <x v="2"/>
    <n v="15000"/>
    <n v="3"/>
    <n v="1000"/>
  </r>
  <r>
    <x v="15"/>
    <s v="Prathi"/>
    <x v="1"/>
    <x v="1"/>
    <n v="4000"/>
    <n v="9"/>
    <n v="200"/>
  </r>
  <r>
    <x v="16"/>
    <s v="Pushpa"/>
    <x v="2"/>
    <x v="1"/>
    <n v="3000"/>
    <n v="2"/>
    <n v="100"/>
  </r>
  <r>
    <x v="16"/>
    <s v="Manoj"/>
    <x v="0"/>
    <x v="1"/>
    <n v="2000"/>
    <n v="1"/>
    <n v="100"/>
  </r>
  <r>
    <x v="17"/>
    <s v="Manju"/>
    <x v="0"/>
    <x v="0"/>
    <n v="46000"/>
    <n v="7"/>
    <n v="800"/>
  </r>
  <r>
    <x v="17"/>
    <s v="Niru"/>
    <x v="1"/>
    <x v="2"/>
    <n v="4000"/>
    <n v="2"/>
    <n v="700"/>
  </r>
  <r>
    <x v="18"/>
    <s v="Rakshitha"/>
    <x v="1"/>
    <x v="0"/>
    <n v="3000"/>
    <n v="1"/>
    <n v="150"/>
  </r>
  <r>
    <x v="19"/>
    <s v="Harshitha"/>
    <x v="0"/>
    <x v="0"/>
    <n v="2400"/>
    <n v="1"/>
    <n v="50"/>
  </r>
  <r>
    <x v="20"/>
    <s v="Chitra"/>
    <x v="2"/>
    <x v="2"/>
    <n v="5800"/>
    <n v="2"/>
    <n v="500"/>
  </r>
  <r>
    <x v="21"/>
    <s v="Rashmi"/>
    <x v="3"/>
    <x v="1"/>
    <n v="2800"/>
    <n v="6"/>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3117BD-8CA4-47A8-A4FD-82D67E61B57C}" name="PivotTable19"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C9" firstHeaderRow="1" firstDataRow="1" firstDataCol="1"/>
  <pivotFields count="10">
    <pivotField numFmtId="14"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5">
        <item x="3"/>
        <item x="1"/>
        <item x="0"/>
        <item x="2"/>
        <item t="default"/>
      </items>
    </pivotField>
    <pivotField axis="axisRow" showAll="0">
      <items count="4">
        <item x="1"/>
        <item x="0"/>
        <item x="2"/>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F5C0E3-008B-43A2-8A2A-DD9E744E2A4F}" name="PivotTable20"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C9" firstHeaderRow="1" firstDataRow="1" firstDataCol="1"/>
  <pivotFields count="10">
    <pivotField numFmtId="14" showAll="0">
      <items count="23">
        <item x="0"/>
        <item x="1"/>
        <item x="2"/>
        <item x="3"/>
        <item x="4"/>
        <item x="5"/>
        <item x="6"/>
        <item x="7"/>
        <item x="8"/>
        <item x="9"/>
        <item x="10"/>
        <item x="11"/>
        <item x="12"/>
        <item x="13"/>
        <item x="14"/>
        <item x="15"/>
        <item x="16"/>
        <item x="17"/>
        <item x="18"/>
        <item x="19"/>
        <item x="20"/>
        <item x="21"/>
        <item t="default"/>
      </items>
    </pivotField>
    <pivotField showAll="0"/>
    <pivotField axis="axisRow" showAll="0">
      <items count="5">
        <item x="3"/>
        <item x="1"/>
        <item x="0"/>
        <item x="2"/>
        <item t="default"/>
      </items>
    </pivotField>
    <pivotField showAll="0">
      <items count="4">
        <item x="1"/>
        <item x="0"/>
        <item x="2"/>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39E640-30BC-4EA6-BA0A-30F2768C051B}" name="PivotTable16"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5">
        <item x="3"/>
        <item x="1"/>
        <item x="0"/>
        <item x="2"/>
        <item t="default"/>
      </items>
    </pivotField>
    <pivotField showAll="0">
      <items count="4">
        <item x="1"/>
        <item x="0"/>
        <item x="2"/>
        <item t="default"/>
      </items>
    </pivotField>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Total Sales" fld="4" baseField="0" baseItem="1"/>
    <dataField name="Total Quantity" fld="5" baseField="0" baseItem="1"/>
    <dataField name="Total Profit" fld="6"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CDE20D-69A8-450D-A211-37DEE51D945D}" name="PivotTable21"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3" firstHeaderRow="1" firstDataRow="1" firstDataCol="1"/>
  <pivotFields count="10">
    <pivotField axis="axisRow" numFmtId="14"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5">
        <item x="3"/>
        <item x="1"/>
        <item x="0"/>
        <item x="2"/>
        <item t="default"/>
      </items>
    </pivotField>
    <pivotField showAll="0">
      <items count="4">
        <item x="1"/>
        <item x="0"/>
        <item x="2"/>
        <item t="default"/>
      </items>
    </pivotField>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7"/>
    <field x="0"/>
  </rowFields>
  <rowItems count="12">
    <i>
      <x v="1"/>
    </i>
    <i>
      <x v="2"/>
    </i>
    <i>
      <x v="3"/>
    </i>
    <i>
      <x v="4"/>
    </i>
    <i>
      <x v="5"/>
    </i>
    <i>
      <x v="7"/>
    </i>
    <i>
      <x v="8"/>
    </i>
    <i>
      <x v="9"/>
    </i>
    <i>
      <x v="10"/>
    </i>
    <i>
      <x v="11"/>
    </i>
    <i>
      <x v="12"/>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3C9CD0-ECC0-46B4-BA9B-6A223311873F}" sourceName="Region">
  <pivotTables>
    <pivotTable tabId="16" name="PivotTable20"/>
    <pivotTable tabId="15" name="PivotTable19"/>
    <pivotTable tabId="22" name="PivotTable21"/>
    <pivotTable tabId="18" name="PivotTable16"/>
  </pivotTables>
  <data>
    <tabular pivotCacheId="194175352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A673C0-F6D5-4ACA-BEDA-74F5BF601A13}" sourceName="Category">
  <pivotTables>
    <pivotTable tabId="16" name="PivotTable20"/>
    <pivotTable tabId="15" name="PivotTable19"/>
    <pivotTable tabId="22" name="PivotTable21"/>
    <pivotTable tabId="18" name="PivotTable16"/>
  </pivotTables>
  <data>
    <tabular pivotCacheId="194175352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4710A3-30DF-44DF-B0C8-7A1321194C6F}" cache="Slicer_Region" caption="Region" rowHeight="251883"/>
  <slicer name="Category" xr10:uid="{AB4CC92D-F171-4826-AFDA-3D5AF944FB32}" cache="Slicer_Category"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54709EF-1D72-40FB-BEEE-4BDFAE2C2277}" cache="Slicer_Region" caption="Region" rowHeight="251883"/>
  <slicer name="Category 1" xr10:uid="{59A88208-2A6B-4825-A00F-1671862C1C21}"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42CD3-7FB3-444A-A8CD-395B21431AFB}" name="Table1" displayName="Table1" ref="A1:G30" totalsRowShown="0">
  <tableColumns count="7">
    <tableColumn id="1" xr3:uid="{78C389D4-5E34-4EF1-8B46-BBAB00839FE5}" name="Date" dataDxfId="0"/>
    <tableColumn id="2" xr3:uid="{B0FD9912-1C5B-4850-93EE-EA3292CDEDE3}" name="Customer Name"/>
    <tableColumn id="3" xr3:uid="{995EABBF-704F-4F97-979E-6970958B1A04}" name="Region"/>
    <tableColumn id="4" xr3:uid="{88AF635D-FCD8-47EA-A25E-D2627FEAFFE6}" name="Category"/>
    <tableColumn id="5" xr3:uid="{36CB1798-3478-492F-981F-EE43B57A78E3}" name="Sales"/>
    <tableColumn id="6" xr3:uid="{A3370B51-87DC-4E1E-B712-2E5D32F1D3BC}" name="Quantity"/>
    <tableColumn id="7" xr3:uid="{46F9FB5B-65AE-4C01-99B8-8836734AFC6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33DB4-3A37-4D90-8409-CB24B28A607D}">
  <dimension ref="B5:C9"/>
  <sheetViews>
    <sheetView workbookViewId="0">
      <selection activeCell="K10" sqref="K10"/>
    </sheetView>
  </sheetViews>
  <sheetFormatPr defaultRowHeight="14.5" x14ac:dyDescent="0.35"/>
  <cols>
    <col min="1" max="2" width="12.453125" bestFit="1" customWidth="1"/>
    <col min="3" max="3" width="11.54296875" bestFit="1" customWidth="1"/>
    <col min="6" max="6" width="12.453125" bestFit="1" customWidth="1"/>
    <col min="7" max="7" width="11.54296875" bestFit="1" customWidth="1"/>
  </cols>
  <sheetData>
    <row r="5" spans="2:3" x14ac:dyDescent="0.35">
      <c r="B5" s="2" t="s">
        <v>41</v>
      </c>
      <c r="C5" t="s">
        <v>40</v>
      </c>
    </row>
    <row r="6" spans="2:3" x14ac:dyDescent="0.35">
      <c r="B6" s="3" t="s">
        <v>38</v>
      </c>
      <c r="C6" s="4">
        <v>39800</v>
      </c>
    </row>
    <row r="7" spans="2:3" x14ac:dyDescent="0.35">
      <c r="B7" s="3" t="s">
        <v>37</v>
      </c>
      <c r="C7" s="4">
        <v>69200</v>
      </c>
    </row>
    <row r="8" spans="2:3" x14ac:dyDescent="0.35">
      <c r="B8" s="3" t="s">
        <v>39</v>
      </c>
      <c r="C8" s="4">
        <v>73200</v>
      </c>
    </row>
    <row r="9" spans="2:3" x14ac:dyDescent="0.35">
      <c r="B9" s="3" t="s">
        <v>42</v>
      </c>
      <c r="C9" s="4">
        <v>182200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E2F0-EBF3-4E25-9346-736EA7DB63F2}">
  <dimension ref="B4:C9"/>
  <sheetViews>
    <sheetView workbookViewId="0">
      <selection activeCell="I18" sqref="I18"/>
    </sheetView>
  </sheetViews>
  <sheetFormatPr defaultRowHeight="14.5" x14ac:dyDescent="0.35"/>
  <cols>
    <col min="1" max="2" width="12.453125" bestFit="1" customWidth="1"/>
    <col min="3" max="3" width="11.54296875" bestFit="1" customWidth="1"/>
  </cols>
  <sheetData>
    <row r="4" spans="2:3" x14ac:dyDescent="0.35">
      <c r="B4" s="2" t="s">
        <v>41</v>
      </c>
      <c r="C4" t="s">
        <v>40</v>
      </c>
    </row>
    <row r="5" spans="2:3" x14ac:dyDescent="0.35">
      <c r="B5" s="3" t="s">
        <v>36</v>
      </c>
      <c r="C5" s="4">
        <v>12300</v>
      </c>
    </row>
    <row r="6" spans="2:3" x14ac:dyDescent="0.35">
      <c r="B6" s="3" t="s">
        <v>34</v>
      </c>
      <c r="C6" s="4">
        <v>35300</v>
      </c>
    </row>
    <row r="7" spans="2:3" x14ac:dyDescent="0.35">
      <c r="B7" s="3" t="s">
        <v>33</v>
      </c>
      <c r="C7" s="4">
        <v>75800</v>
      </c>
    </row>
    <row r="8" spans="2:3" x14ac:dyDescent="0.35">
      <c r="B8" s="3" t="s">
        <v>35</v>
      </c>
      <c r="C8" s="4">
        <v>58800</v>
      </c>
    </row>
    <row r="9" spans="2:3" x14ac:dyDescent="0.35">
      <c r="B9" s="3" t="s">
        <v>42</v>
      </c>
      <c r="C9" s="4">
        <v>182200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E087-69FA-41B5-9991-D2CA97E19FA0}">
  <dimension ref="A3:C4"/>
  <sheetViews>
    <sheetView workbookViewId="0">
      <selection activeCell="A3" sqref="A3:C4"/>
      <pivotSelection pane="bottomRight" showHeader="1" extendable="1" axis="axisCol" max="3" activeRow="2" previousRow="2" previousCol="2" click="1" r:id="rId1">
        <pivotArea dataOnly="0" outline="0" axis="axisCol" fieldPosition="0">
          <references count="1">
            <reference field="4294967294" count="3">
              <x v="0"/>
              <x v="1"/>
              <x v="2"/>
            </reference>
          </references>
        </pivotArea>
      </pivotSelection>
    </sheetView>
  </sheetViews>
  <sheetFormatPr defaultRowHeight="14.5" x14ac:dyDescent="0.35"/>
  <cols>
    <col min="1" max="1" width="9.81640625" bestFit="1" customWidth="1"/>
    <col min="2" max="2" width="12.453125" bestFit="1" customWidth="1"/>
    <col min="3" max="3" width="9.81640625" bestFit="1" customWidth="1"/>
  </cols>
  <sheetData>
    <row r="3" spans="1:3" x14ac:dyDescent="0.35">
      <c r="A3" t="s">
        <v>55</v>
      </c>
      <c r="B3" t="s">
        <v>57</v>
      </c>
      <c r="C3" t="s">
        <v>56</v>
      </c>
    </row>
    <row r="4" spans="1:3" x14ac:dyDescent="0.35">
      <c r="A4" s="4">
        <v>182200</v>
      </c>
      <c r="B4" s="4">
        <v>98</v>
      </c>
      <c r="C4" s="4">
        <v>11300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8635A-D6A7-4ECA-8C99-797C1F135E11}">
  <dimension ref="A1:G30"/>
  <sheetViews>
    <sheetView workbookViewId="0">
      <selection activeCell="H24" sqref="H24"/>
    </sheetView>
  </sheetViews>
  <sheetFormatPr defaultRowHeight="14.5" x14ac:dyDescent="0.35"/>
  <cols>
    <col min="1" max="1" width="10.08984375" bestFit="1" customWidth="1"/>
    <col min="2" max="2" width="16.26953125" customWidth="1"/>
    <col min="4" max="4" width="10.1796875" customWidth="1"/>
    <col min="6" max="6" width="10" customWidth="1"/>
    <col min="8" max="8" width="15.81640625" bestFit="1" customWidth="1"/>
  </cols>
  <sheetData>
    <row r="1" spans="1:7" x14ac:dyDescent="0.35">
      <c r="A1" t="s">
        <v>0</v>
      </c>
      <c r="B1" t="s">
        <v>1</v>
      </c>
      <c r="C1" t="s">
        <v>2</v>
      </c>
      <c r="D1" t="s">
        <v>3</v>
      </c>
      <c r="E1" t="s">
        <v>4</v>
      </c>
      <c r="F1" t="s">
        <v>5</v>
      </c>
      <c r="G1" t="s">
        <v>6</v>
      </c>
    </row>
    <row r="2" spans="1:7" x14ac:dyDescent="0.35">
      <c r="A2" s="1">
        <v>45658</v>
      </c>
      <c r="B2" t="s">
        <v>7</v>
      </c>
      <c r="C2" t="s">
        <v>33</v>
      </c>
      <c r="D2" t="s">
        <v>37</v>
      </c>
      <c r="E2">
        <v>5000</v>
      </c>
      <c r="F2">
        <v>3</v>
      </c>
      <c r="G2">
        <v>500</v>
      </c>
    </row>
    <row r="3" spans="1:7" x14ac:dyDescent="0.35">
      <c r="A3" s="1">
        <v>45658</v>
      </c>
      <c r="B3" t="s">
        <v>8</v>
      </c>
      <c r="C3" t="s">
        <v>34</v>
      </c>
      <c r="D3" t="s">
        <v>38</v>
      </c>
      <c r="E3">
        <v>3000</v>
      </c>
      <c r="F3">
        <v>5</v>
      </c>
      <c r="G3">
        <v>300</v>
      </c>
    </row>
    <row r="4" spans="1:7" x14ac:dyDescent="0.35">
      <c r="A4" s="1">
        <v>45708</v>
      </c>
      <c r="B4" t="s">
        <v>9</v>
      </c>
      <c r="C4" t="s">
        <v>35</v>
      </c>
      <c r="D4" t="s">
        <v>39</v>
      </c>
      <c r="E4">
        <v>7000</v>
      </c>
      <c r="F4">
        <v>3</v>
      </c>
      <c r="G4">
        <v>800</v>
      </c>
    </row>
    <row r="5" spans="1:7" x14ac:dyDescent="0.35">
      <c r="A5" s="1">
        <v>45726</v>
      </c>
      <c r="B5" t="s">
        <v>10</v>
      </c>
      <c r="C5" t="s">
        <v>36</v>
      </c>
      <c r="D5" t="s">
        <v>37</v>
      </c>
      <c r="E5">
        <v>2000</v>
      </c>
      <c r="F5">
        <v>1</v>
      </c>
      <c r="G5">
        <v>200</v>
      </c>
    </row>
    <row r="6" spans="1:7" x14ac:dyDescent="0.35">
      <c r="A6" s="1">
        <v>45732</v>
      </c>
      <c r="B6" t="s">
        <v>11</v>
      </c>
      <c r="C6" t="s">
        <v>36</v>
      </c>
      <c r="D6" t="s">
        <v>37</v>
      </c>
      <c r="E6">
        <v>1000</v>
      </c>
      <c r="F6">
        <v>1</v>
      </c>
      <c r="G6">
        <v>100</v>
      </c>
    </row>
    <row r="7" spans="1:7" x14ac:dyDescent="0.35">
      <c r="A7" s="1">
        <v>45746</v>
      </c>
      <c r="B7" t="s">
        <v>12</v>
      </c>
      <c r="C7" t="s">
        <v>35</v>
      </c>
      <c r="D7" t="s">
        <v>38</v>
      </c>
      <c r="E7">
        <v>8000</v>
      </c>
      <c r="F7">
        <v>7</v>
      </c>
      <c r="G7">
        <v>1500</v>
      </c>
    </row>
    <row r="8" spans="1:7" x14ac:dyDescent="0.35">
      <c r="A8" s="1">
        <v>45746</v>
      </c>
      <c r="B8" t="s">
        <v>13</v>
      </c>
      <c r="C8" t="s">
        <v>34</v>
      </c>
      <c r="D8" t="s">
        <v>37</v>
      </c>
      <c r="E8">
        <v>800</v>
      </c>
      <c r="F8">
        <v>1</v>
      </c>
      <c r="G8">
        <v>100</v>
      </c>
    </row>
    <row r="9" spans="1:7" x14ac:dyDescent="0.35">
      <c r="A9" s="1">
        <v>45759</v>
      </c>
      <c r="B9" t="s">
        <v>14</v>
      </c>
      <c r="C9" t="s">
        <v>33</v>
      </c>
      <c r="D9" t="s">
        <v>39</v>
      </c>
      <c r="E9">
        <v>1500</v>
      </c>
      <c r="F9">
        <v>2</v>
      </c>
      <c r="G9">
        <v>50</v>
      </c>
    </row>
    <row r="10" spans="1:7" x14ac:dyDescent="0.35">
      <c r="A10" s="1">
        <v>45923</v>
      </c>
      <c r="B10" t="s">
        <v>15</v>
      </c>
      <c r="C10" t="s">
        <v>35</v>
      </c>
      <c r="D10" t="s">
        <v>38</v>
      </c>
      <c r="E10">
        <v>7000</v>
      </c>
      <c r="F10">
        <v>3</v>
      </c>
      <c r="G10">
        <v>100</v>
      </c>
    </row>
    <row r="11" spans="1:7" x14ac:dyDescent="0.35">
      <c r="A11" s="1">
        <v>45947</v>
      </c>
      <c r="B11" t="s">
        <v>16</v>
      </c>
      <c r="C11" t="s">
        <v>35</v>
      </c>
      <c r="D11" t="s">
        <v>39</v>
      </c>
      <c r="E11">
        <v>24000</v>
      </c>
      <c r="F11">
        <v>6</v>
      </c>
      <c r="G11">
        <v>1000</v>
      </c>
    </row>
    <row r="12" spans="1:7" x14ac:dyDescent="0.35">
      <c r="A12" s="1">
        <v>46014</v>
      </c>
      <c r="B12" t="s">
        <v>10</v>
      </c>
      <c r="C12" t="s">
        <v>34</v>
      </c>
      <c r="D12" t="s">
        <v>37</v>
      </c>
      <c r="E12">
        <v>5000</v>
      </c>
      <c r="F12">
        <v>3</v>
      </c>
      <c r="G12">
        <v>500</v>
      </c>
    </row>
    <row r="13" spans="1:7" x14ac:dyDescent="0.35">
      <c r="A13" s="1">
        <v>46089</v>
      </c>
      <c r="B13" t="s">
        <v>10</v>
      </c>
      <c r="C13" t="s">
        <v>33</v>
      </c>
      <c r="D13" t="s">
        <v>39</v>
      </c>
      <c r="E13">
        <v>2000</v>
      </c>
      <c r="F13">
        <v>2</v>
      </c>
      <c r="G13">
        <v>100</v>
      </c>
    </row>
    <row r="14" spans="1:7" x14ac:dyDescent="0.35">
      <c r="A14" s="1">
        <v>46099</v>
      </c>
      <c r="B14" t="s">
        <v>17</v>
      </c>
      <c r="C14" t="s">
        <v>35</v>
      </c>
      <c r="D14" t="s">
        <v>39</v>
      </c>
      <c r="E14">
        <v>4000</v>
      </c>
      <c r="F14">
        <v>6</v>
      </c>
      <c r="G14">
        <v>200</v>
      </c>
    </row>
    <row r="15" spans="1:7" x14ac:dyDescent="0.35">
      <c r="A15" s="1">
        <v>46099</v>
      </c>
      <c r="B15" t="s">
        <v>18</v>
      </c>
      <c r="C15" t="s">
        <v>34</v>
      </c>
      <c r="D15" t="s">
        <v>37</v>
      </c>
      <c r="E15">
        <v>500</v>
      </c>
      <c r="F15">
        <v>1</v>
      </c>
      <c r="G15">
        <v>50</v>
      </c>
    </row>
    <row r="16" spans="1:7" x14ac:dyDescent="0.35">
      <c r="A16" s="1">
        <v>46100</v>
      </c>
      <c r="B16" t="s">
        <v>19</v>
      </c>
      <c r="C16" t="s">
        <v>33</v>
      </c>
      <c r="D16" t="s">
        <v>38</v>
      </c>
      <c r="E16">
        <v>7000</v>
      </c>
      <c r="F16">
        <v>8</v>
      </c>
      <c r="G16">
        <v>1000</v>
      </c>
    </row>
    <row r="17" spans="1:7" x14ac:dyDescent="0.35">
      <c r="A17" s="1">
        <v>46100</v>
      </c>
      <c r="B17" t="s">
        <v>20</v>
      </c>
      <c r="C17" t="s">
        <v>33</v>
      </c>
      <c r="D17" t="s">
        <v>39</v>
      </c>
      <c r="E17">
        <v>1900</v>
      </c>
      <c r="F17">
        <v>2</v>
      </c>
      <c r="G17">
        <v>300</v>
      </c>
    </row>
    <row r="18" spans="1:7" x14ac:dyDescent="0.35">
      <c r="A18" s="1">
        <v>46100</v>
      </c>
      <c r="B18" t="s">
        <v>21</v>
      </c>
      <c r="C18" t="s">
        <v>36</v>
      </c>
      <c r="D18" t="s">
        <v>37</v>
      </c>
      <c r="E18">
        <v>3500</v>
      </c>
      <c r="F18">
        <v>4</v>
      </c>
      <c r="G18">
        <v>100</v>
      </c>
    </row>
    <row r="19" spans="1:7" x14ac:dyDescent="0.35">
      <c r="A19" s="1">
        <v>46167</v>
      </c>
      <c r="B19" t="s">
        <v>22</v>
      </c>
      <c r="C19" t="s">
        <v>36</v>
      </c>
      <c r="D19" t="s">
        <v>38</v>
      </c>
      <c r="E19">
        <v>3000</v>
      </c>
      <c r="F19">
        <v>5</v>
      </c>
      <c r="G19">
        <v>200</v>
      </c>
    </row>
    <row r="20" spans="1:7" x14ac:dyDescent="0.35">
      <c r="A20" s="1">
        <v>46169</v>
      </c>
      <c r="B20" t="s">
        <v>17</v>
      </c>
      <c r="C20" t="s">
        <v>33</v>
      </c>
      <c r="D20" t="s">
        <v>39</v>
      </c>
      <c r="E20">
        <v>8000</v>
      </c>
      <c r="F20">
        <v>1</v>
      </c>
      <c r="G20">
        <v>500</v>
      </c>
    </row>
    <row r="21" spans="1:7" x14ac:dyDescent="0.35">
      <c r="A21" s="1">
        <v>46218</v>
      </c>
      <c r="B21" t="s">
        <v>23</v>
      </c>
      <c r="C21" t="s">
        <v>34</v>
      </c>
      <c r="D21" t="s">
        <v>39</v>
      </c>
      <c r="E21">
        <v>15000</v>
      </c>
      <c r="F21">
        <v>3</v>
      </c>
      <c r="G21">
        <v>1000</v>
      </c>
    </row>
    <row r="22" spans="1:7" x14ac:dyDescent="0.35">
      <c r="A22" s="1">
        <v>46260</v>
      </c>
      <c r="B22" t="s">
        <v>24</v>
      </c>
      <c r="C22" t="s">
        <v>34</v>
      </c>
      <c r="D22" t="s">
        <v>38</v>
      </c>
      <c r="E22">
        <v>4000</v>
      </c>
      <c r="F22">
        <v>9</v>
      </c>
      <c r="G22">
        <v>200</v>
      </c>
    </row>
    <row r="23" spans="1:7" x14ac:dyDescent="0.35">
      <c r="A23" s="1">
        <v>46276</v>
      </c>
      <c r="B23" t="s">
        <v>25</v>
      </c>
      <c r="C23" t="s">
        <v>35</v>
      </c>
      <c r="D23" t="s">
        <v>38</v>
      </c>
      <c r="E23">
        <v>3000</v>
      </c>
      <c r="F23">
        <v>2</v>
      </c>
      <c r="G23">
        <v>100</v>
      </c>
    </row>
    <row r="24" spans="1:7" x14ac:dyDescent="0.35">
      <c r="A24" s="1">
        <v>46276</v>
      </c>
      <c r="B24" t="s">
        <v>26</v>
      </c>
      <c r="C24" t="s">
        <v>33</v>
      </c>
      <c r="D24" t="s">
        <v>38</v>
      </c>
      <c r="E24">
        <v>2000</v>
      </c>
      <c r="F24">
        <v>1</v>
      </c>
      <c r="G24">
        <v>100</v>
      </c>
    </row>
    <row r="25" spans="1:7" x14ac:dyDescent="0.35">
      <c r="A25" s="1">
        <v>46323</v>
      </c>
      <c r="B25" t="s">
        <v>27</v>
      </c>
      <c r="C25" t="s">
        <v>33</v>
      </c>
      <c r="D25" t="s">
        <v>37</v>
      </c>
      <c r="E25">
        <v>46000</v>
      </c>
      <c r="F25">
        <v>7</v>
      </c>
      <c r="G25">
        <v>800</v>
      </c>
    </row>
    <row r="26" spans="1:7" x14ac:dyDescent="0.35">
      <c r="A26" s="1">
        <v>46323</v>
      </c>
      <c r="B26" t="s">
        <v>28</v>
      </c>
      <c r="C26" t="s">
        <v>34</v>
      </c>
      <c r="D26" t="s">
        <v>39</v>
      </c>
      <c r="E26">
        <v>4000</v>
      </c>
      <c r="F26">
        <v>2</v>
      </c>
      <c r="G26">
        <v>700</v>
      </c>
    </row>
    <row r="27" spans="1:7" x14ac:dyDescent="0.35">
      <c r="A27" s="1">
        <v>46343</v>
      </c>
      <c r="B27" t="s">
        <v>29</v>
      </c>
      <c r="C27" t="s">
        <v>34</v>
      </c>
      <c r="D27" t="s">
        <v>37</v>
      </c>
      <c r="E27">
        <v>3000</v>
      </c>
      <c r="F27">
        <v>1</v>
      </c>
      <c r="G27">
        <v>150</v>
      </c>
    </row>
    <row r="28" spans="1:7" x14ac:dyDescent="0.35">
      <c r="A28" s="1">
        <v>46355</v>
      </c>
      <c r="B28" t="s">
        <v>30</v>
      </c>
      <c r="C28" t="s">
        <v>33</v>
      </c>
      <c r="D28" t="s">
        <v>37</v>
      </c>
      <c r="E28">
        <v>2400</v>
      </c>
      <c r="F28">
        <v>1</v>
      </c>
      <c r="G28">
        <v>50</v>
      </c>
    </row>
    <row r="29" spans="1:7" x14ac:dyDescent="0.35">
      <c r="A29" s="1">
        <v>46358</v>
      </c>
      <c r="B29" t="s">
        <v>31</v>
      </c>
      <c r="C29" t="s">
        <v>35</v>
      </c>
      <c r="D29" t="s">
        <v>39</v>
      </c>
      <c r="E29">
        <v>5800</v>
      </c>
      <c r="F29">
        <v>2</v>
      </c>
      <c r="G29">
        <v>500</v>
      </c>
    </row>
    <row r="30" spans="1:7" x14ac:dyDescent="0.35">
      <c r="A30" s="1">
        <v>46371</v>
      </c>
      <c r="B30" t="s">
        <v>32</v>
      </c>
      <c r="C30" t="s">
        <v>36</v>
      </c>
      <c r="D30" t="s">
        <v>38</v>
      </c>
      <c r="E30">
        <v>2800</v>
      </c>
      <c r="F30">
        <v>6</v>
      </c>
      <c r="G30">
        <v>100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0593-0367-49EB-B3EC-5A3379D5892A}">
  <dimension ref="E3:L9"/>
  <sheetViews>
    <sheetView showGridLines="0" tabSelected="1" topLeftCell="A2" zoomScale="48" zoomScaleNormal="48" workbookViewId="0">
      <selection activeCell="AD15" sqref="AD15"/>
    </sheetView>
  </sheetViews>
  <sheetFormatPr defaultRowHeight="14.5" x14ac:dyDescent="0.35"/>
  <cols>
    <col min="5" max="5" width="13.54296875" customWidth="1"/>
    <col min="6" max="6" width="20.54296875" bestFit="1" customWidth="1"/>
    <col min="7" max="7" width="18.08984375" bestFit="1" customWidth="1"/>
    <col min="8" max="8" width="14.26953125" bestFit="1" customWidth="1"/>
    <col min="9" max="9" width="12.08984375" bestFit="1" customWidth="1"/>
  </cols>
  <sheetData>
    <row r="3" spans="5:12" ht="34.5" x14ac:dyDescent="0.8">
      <c r="E3" s="5" t="s">
        <v>54</v>
      </c>
      <c r="F3" s="5"/>
      <c r="G3" s="5"/>
      <c r="H3" s="5"/>
    </row>
    <row r="8" spans="5:12" ht="21" x14ac:dyDescent="0.5">
      <c r="F8" s="8" t="str">
        <f>Sheet4!A3</f>
        <v>Total Sales</v>
      </c>
      <c r="G8" s="8" t="str">
        <f>Sheet4!B3</f>
        <v>Total Quantity</v>
      </c>
      <c r="H8" s="8" t="str">
        <f>Sheet4!C3</f>
        <v>Total Profit</v>
      </c>
    </row>
    <row r="9" spans="5:12" ht="26" x14ac:dyDescent="0.35">
      <c r="F9" s="7">
        <f>Sheet4!A4</f>
        <v>182200</v>
      </c>
      <c r="G9" s="7">
        <f>Sheet4!B4</f>
        <v>98</v>
      </c>
      <c r="H9" s="7">
        <f>Sheet4!C4</f>
        <v>11300</v>
      </c>
      <c r="J9" s="6"/>
      <c r="K9" s="6"/>
      <c r="L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DE884-735F-474B-B83A-68837D19E6AA}">
  <dimension ref="A1:B13"/>
  <sheetViews>
    <sheetView workbookViewId="0">
      <selection activeCell="M18" sqref="M18"/>
    </sheetView>
  </sheetViews>
  <sheetFormatPr defaultRowHeight="14.5" x14ac:dyDescent="0.35"/>
  <cols>
    <col min="1" max="1" width="12.453125" bestFit="1" customWidth="1"/>
    <col min="2" max="2" width="11.54296875" bestFit="1" customWidth="1"/>
  </cols>
  <sheetData>
    <row r="1" spans="1:2" x14ac:dyDescent="0.35">
      <c r="A1" s="2" t="s">
        <v>41</v>
      </c>
      <c r="B1" t="s">
        <v>40</v>
      </c>
    </row>
    <row r="2" spans="1:2" x14ac:dyDescent="0.35">
      <c r="A2" s="3" t="s">
        <v>43</v>
      </c>
      <c r="B2" s="4">
        <v>8000</v>
      </c>
    </row>
    <row r="3" spans="1:2" x14ac:dyDescent="0.35">
      <c r="A3" s="3" t="s">
        <v>44</v>
      </c>
      <c r="B3" s="4">
        <v>7000</v>
      </c>
    </row>
    <row r="4" spans="1:2" x14ac:dyDescent="0.35">
      <c r="A4" s="3" t="s">
        <v>45</v>
      </c>
      <c r="B4" s="4">
        <v>30700</v>
      </c>
    </row>
    <row r="5" spans="1:2" x14ac:dyDescent="0.35">
      <c r="A5" s="3" t="s">
        <v>46</v>
      </c>
      <c r="B5" s="4">
        <v>1500</v>
      </c>
    </row>
    <row r="6" spans="1:2" x14ac:dyDescent="0.35">
      <c r="A6" s="3" t="s">
        <v>47</v>
      </c>
      <c r="B6" s="4">
        <v>11000</v>
      </c>
    </row>
    <row r="7" spans="1:2" x14ac:dyDescent="0.35">
      <c r="A7" s="3" t="s">
        <v>48</v>
      </c>
      <c r="B7" s="4">
        <v>15000</v>
      </c>
    </row>
    <row r="8" spans="1:2" x14ac:dyDescent="0.35">
      <c r="A8" s="3" t="s">
        <v>49</v>
      </c>
      <c r="B8" s="4">
        <v>4000</v>
      </c>
    </row>
    <row r="9" spans="1:2" x14ac:dyDescent="0.35">
      <c r="A9" s="3" t="s">
        <v>50</v>
      </c>
      <c r="B9" s="4">
        <v>12000</v>
      </c>
    </row>
    <row r="10" spans="1:2" x14ac:dyDescent="0.35">
      <c r="A10" s="3" t="s">
        <v>51</v>
      </c>
      <c r="B10" s="4">
        <v>74000</v>
      </c>
    </row>
    <row r="11" spans="1:2" x14ac:dyDescent="0.35">
      <c r="A11" s="3" t="s">
        <v>52</v>
      </c>
      <c r="B11" s="4">
        <v>5400</v>
      </c>
    </row>
    <row r="12" spans="1:2" x14ac:dyDescent="0.35">
      <c r="A12" s="3" t="s">
        <v>53</v>
      </c>
      <c r="B12" s="4">
        <v>13600</v>
      </c>
    </row>
    <row r="13" spans="1:2" x14ac:dyDescent="0.35">
      <c r="A13" s="3" t="s">
        <v>42</v>
      </c>
      <c r="B13" s="4">
        <v>182200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Sheet1</vt:lpstr>
      <vt:lpstr>Dashboard</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sathya</dc:creator>
  <cp:lastModifiedBy>jai sathya</cp:lastModifiedBy>
  <dcterms:created xsi:type="dcterms:W3CDTF">2026-04-12T12:50:22Z</dcterms:created>
  <dcterms:modified xsi:type="dcterms:W3CDTF">2026-04-13T08:44:27Z</dcterms:modified>
</cp:coreProperties>
</file>